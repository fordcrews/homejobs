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Stores" sheetId="2" state="visible" r:id="rId2"/>
    <sheet name="How to use" sheetId="3" state="visible" r:id="rId3"/>
  </sheets>
  <definedNames>
    <definedName name="_xlnm._FilterDatabase" localSheetId="0" hidden="1">'Prices'!$A$1:$L$48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6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FFF2CC"/>
      </patternFill>
    </fill>
    <fill>
      <patternFill patternType="solid">
        <fgColor rgb="00FDE8D8"/>
      </patternFill>
    </fill>
    <fill>
      <patternFill patternType="solid">
        <fgColor rgb="00D6EAF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5DDE4"/>
      </left>
      <right style="thin">
        <color rgb="00D5DDE4"/>
      </right>
      <top style="thin">
        <color rgb="00D5DDE4"/>
      </top>
      <bottom style="thin">
        <color rgb="00D5DD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8" customWidth="1" min="3" max="3"/>
    <col width="2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42" customWidth="1" min="11" max="11"/>
    <col width="42" customWidth="1" min="12" max="12"/>
  </cols>
  <sheetData>
    <row r="1" ht="30" customHeight="1">
      <c r="A1" s="1" t="inlineStr">
        <is>
          <t>Job</t>
        </is>
      </c>
      <c r="B1" s="1" t="inlineStr">
        <is>
          <t>Item</t>
        </is>
      </c>
      <c r="C1" s="1" t="inlineStr">
        <is>
          <t>Unit</t>
        </is>
      </c>
      <c r="D1" s="1" t="inlineStr">
        <is>
          <t>Key</t>
        </is>
      </c>
      <c r="E1" s="1" t="inlineStr">
        <is>
          <t>Home Depot</t>
        </is>
      </c>
      <c r="F1" s="1" t="inlineStr">
        <is>
          <t>Lowes</t>
        </is>
      </c>
      <c r="G1" s="1" t="inlineStr">
        <is>
          <t>Local 1</t>
        </is>
      </c>
      <c r="H1" s="1" t="inlineStr">
        <is>
          <t>Local 2</t>
        </is>
      </c>
      <c r="I1" s="1" t="inlineStr">
        <is>
          <t>Cheapest</t>
        </is>
      </c>
      <c r="J1" s="1" t="inlineStr">
        <is>
          <t>Cheapest store</t>
        </is>
      </c>
      <c r="K1" s="1" t="inlineStr">
        <is>
          <t>HD URL</t>
        </is>
      </c>
      <c r="L1" s="1" t="inlineStr">
        <is>
          <t>Lowes URL</t>
        </is>
      </c>
    </row>
    <row r="2">
      <c r="A2" s="2" t="inlineStr">
        <is>
          <t>Wood fence</t>
        </is>
      </c>
      <c r="B2" s="3" t="inlineStr">
        <is>
          <t>4x4x8 treated post (ground contact)</t>
        </is>
      </c>
      <c r="C2" s="2" t="inlineStr">
        <is>
          <t>ea</t>
        </is>
      </c>
      <c r="D2" s="2" t="inlineStr">
        <is>
          <t>fencePrices.v1:p4</t>
        </is>
      </c>
      <c r="E2" s="4" t="n">
        <v>11.28</v>
      </c>
      <c r="F2" s="5" t="n">
        <v>12.48</v>
      </c>
      <c r="G2" s="6" t="n"/>
      <c r="H2" s="6" t="n"/>
      <c r="I2" s="7">
        <f>IF(COUNT(E2:H2)=0,"",MIN(E2:H2))</f>
        <v/>
      </c>
      <c r="J2" s="2">
        <f>IF(I2="","",INDEX($E$1:$H$1,MATCH(I2,E2:H2,0)))</f>
        <v/>
      </c>
      <c r="K2" s="3" t="inlineStr">
        <is>
          <t>https://www.homedepot.com/p/4-in-x-4-in-x-8-ft-2-Ground-Contact-Pressure-Treated-Southern-Yellow-Pine-Wood-Post-194354/205220341</t>
        </is>
      </c>
      <c r="L2" s="3" t="inlineStr">
        <is>
          <t>https://www.lowes.com/search?searchTerm=4x4x8%20pressure%20treated%20post</t>
        </is>
      </c>
    </row>
    <row r="3">
      <c r="A3" s="2" t="inlineStr">
        <is>
          <t>Wood fence</t>
        </is>
      </c>
      <c r="B3" s="3" t="inlineStr">
        <is>
          <t>6x6x8 treated post (corner/end/gate)</t>
        </is>
      </c>
      <c r="C3" s="2" t="inlineStr">
        <is>
          <t>ea</t>
        </is>
      </c>
      <c r="D3" s="2" t="inlineStr">
        <is>
          <t>fencePrices.v1:p6</t>
        </is>
      </c>
      <c r="E3" s="4" t="n">
        <v>32.28</v>
      </c>
      <c r="F3" s="5" t="n">
        <v>28</v>
      </c>
      <c r="G3" s="6" t="n"/>
      <c r="H3" s="6" t="n"/>
      <c r="I3" s="7">
        <f>IF(COUNT(E3:H3)=0,"",MIN(E3:H3))</f>
        <v/>
      </c>
      <c r="J3" s="2">
        <f>IF(I3="","",INDEX($E$1:$H$1,MATCH(I3,E3:H3,0)))</f>
        <v/>
      </c>
      <c r="K3" s="3" t="inlineStr">
        <is>
          <t>https://www.homedepot.com/p/4-in-x-4-in-x-8-ft-2-Ground-Contact-Pressure-Treated-Southern-Yellow-Pine-Wood-Post-194354/205220341</t>
        </is>
      </c>
      <c r="L3" s="3" t="inlineStr">
        <is>
          <t>https://www.lowes.com/search?searchTerm=4x4x8%20pressure%20treated%20post</t>
        </is>
      </c>
    </row>
    <row r="4">
      <c r="A4" s="2" t="inlineStr">
        <is>
          <t>Wood fence</t>
        </is>
      </c>
      <c r="B4" s="3" t="inlineStr">
        <is>
          <t>2x4x8 treated rail</t>
        </is>
      </c>
      <c r="C4" s="2" t="inlineStr">
        <is>
          <t>ea</t>
        </is>
      </c>
      <c r="D4" s="2" t="inlineStr">
        <is>
          <t>fencePrices.v1:rail</t>
        </is>
      </c>
      <c r="E4" s="4" t="n">
        <v>4.58</v>
      </c>
      <c r="F4" s="5" t="n">
        <v>5.48</v>
      </c>
      <c r="G4" s="6" t="n"/>
      <c r="H4" s="6" t="n"/>
      <c r="I4" s="7">
        <f>IF(COUNT(E4:H4)=0,"",MIN(E4:H4))</f>
        <v/>
      </c>
      <c r="J4" s="2">
        <f>IF(I4="","",INDEX($E$1:$H$1,MATCH(I4,E4:H4,0)))</f>
        <v/>
      </c>
      <c r="K4" s="3" t="inlineStr">
        <is>
          <t>https://www.homedepot.com/s/2x4x8%20pressure%20treated</t>
        </is>
      </c>
      <c r="L4" s="3" t="inlineStr">
        <is>
          <t>https://www.lowes.com/search?searchTerm=2x4x8%20pressure%20treated</t>
        </is>
      </c>
    </row>
    <row r="5">
      <c r="A5" s="2" t="inlineStr">
        <is>
          <t>Wood fence</t>
        </is>
      </c>
      <c r="B5" s="3" t="inlineStr">
        <is>
          <t>6 ft 1x6 treated dog-ear picket</t>
        </is>
      </c>
      <c r="C5" s="2" t="inlineStr">
        <is>
          <t>ea</t>
        </is>
      </c>
      <c r="D5" s="2" t="inlineStr">
        <is>
          <t>fencePrices.v1:board</t>
        </is>
      </c>
      <c r="E5" s="4" t="n">
        <v>2.98</v>
      </c>
      <c r="F5" s="5" t="n">
        <v>3.28</v>
      </c>
      <c r="G5" s="6" t="n"/>
      <c r="H5" s="6" t="n"/>
      <c r="I5" s="7">
        <f>IF(COUNT(E5:H5)=0,"",MIN(E5:H5))</f>
        <v/>
      </c>
      <c r="J5" s="2">
        <f>IF(I5="","",INDEX($E$1:$H$1,MATCH(I5,E5:H5,0)))</f>
        <v/>
      </c>
      <c r="K5" s="3" t="inlineStr">
        <is>
          <t>https://www.homedepot.com/b/Lumber-Composites-Fencing-Gates-Wood-Fencing-Wood-Fence-Pickets/N-5yc1vZc3mo</t>
        </is>
      </c>
      <c r="L5" s="3" t="inlineStr">
        <is>
          <t>https://www.lowes.com/search?searchTerm=6%20ft%20dog%20ear%20fence%20picket</t>
        </is>
      </c>
    </row>
    <row r="6">
      <c r="A6" s="2" t="inlineStr">
        <is>
          <t>Wood fence</t>
        </is>
      </c>
      <c r="B6" s="3" t="inlineStr">
        <is>
          <t>Concrete mix 50-80 lb bag</t>
        </is>
      </c>
      <c r="C6" s="2" t="inlineStr">
        <is>
          <t>bag</t>
        </is>
      </c>
      <c r="D6" s="2" t="inlineStr">
        <is>
          <t>fencePrices.v1:conc</t>
        </is>
      </c>
      <c r="E6" s="4" t="n">
        <v>6.24</v>
      </c>
      <c r="F6" s="5" t="n">
        <v>6.48</v>
      </c>
      <c r="G6" s="6" t="n"/>
      <c r="H6" s="6" t="n"/>
      <c r="I6" s="7">
        <f>IF(COUNT(E6:H6)=0,"",MIN(E6:H6))</f>
        <v/>
      </c>
      <c r="J6" s="2">
        <f>IF(I6="","",INDEX($E$1:$H$1,MATCH(I6,E6:H6,0)))</f>
        <v/>
      </c>
      <c r="K6" s="3" t="inlineStr">
        <is>
          <t>https://www.homedepot.com/p/Quikrete-80-lb-Concrete-Mix-110180/100318511</t>
        </is>
      </c>
      <c r="L6" s="3" t="inlineStr">
        <is>
          <t>https://www.lowes.com/search?searchTerm=quikrete%2080%20lb%20concrete%20mix</t>
        </is>
      </c>
    </row>
    <row r="7">
      <c r="A7" s="2" t="inlineStr">
        <is>
          <t>Wood fence</t>
        </is>
      </c>
      <c r="B7" s="3" t="inlineStr">
        <is>
          <t>Post cap (pyramid)</t>
        </is>
      </c>
      <c r="C7" s="2" t="inlineStr">
        <is>
          <t>ea</t>
        </is>
      </c>
      <c r="D7" s="2" t="inlineStr">
        <is>
          <t>fencePrices.v1:cap</t>
        </is>
      </c>
      <c r="E7" s="4" t="n">
        <v>2.57</v>
      </c>
      <c r="F7" s="5" t="n">
        <v>3.48</v>
      </c>
      <c r="G7" s="6" t="n"/>
      <c r="H7" s="6" t="n"/>
      <c r="I7" s="7">
        <f>IF(COUNT(E7:H7)=0,"",MIN(E7:H7))</f>
        <v/>
      </c>
      <c r="J7" s="2">
        <f>IF(I7="","",INDEX($E$1:$H$1,MATCH(I7,E7:H7,0)))</f>
        <v/>
      </c>
      <c r="K7" s="3" t="inlineStr">
        <is>
          <t>https://www.homedepot.com/s/4x4%20pyramid%20post%20cap</t>
        </is>
      </c>
      <c r="L7" s="3" t="inlineStr">
        <is>
          <t>https://www.lowes.com/search?searchTerm=4x4%20post%20cap</t>
        </is>
      </c>
    </row>
    <row r="8">
      <c r="A8" s="2" t="inlineStr">
        <is>
          <t>Wood fence</t>
        </is>
      </c>
      <c r="B8" s="3" t="inlineStr">
        <is>
          <t>Heavy T-hinge pair</t>
        </is>
      </c>
      <c r="C8" s="2" t="inlineStr">
        <is>
          <t>pair</t>
        </is>
      </c>
      <c r="D8" s="2" t="inlineStr">
        <is>
          <t>fencePrices.v1:hinge</t>
        </is>
      </c>
      <c r="E8" s="4" t="n">
        <v>19.74</v>
      </c>
      <c r="F8" s="5" t="n">
        <v>18.96</v>
      </c>
      <c r="G8" s="6" t="n"/>
      <c r="H8" s="6" t="n"/>
      <c r="I8" s="7">
        <f>IF(COUNT(E8:H8)=0,"",MIN(E8:H8))</f>
        <v/>
      </c>
      <c r="J8" s="2">
        <f>IF(I8="","",INDEX($E$1:$H$1,MATCH(I8,E8:H8,0)))</f>
        <v/>
      </c>
      <c r="K8" s="3" t="inlineStr">
        <is>
          <t>https://www.homedepot.com/s/heavy%20tee%20hinge</t>
        </is>
      </c>
      <c r="L8" s="3" t="inlineStr">
        <is>
          <t>https://www.lowes.com/search?searchTerm=tee%20hinge%20fence%20gate</t>
        </is>
      </c>
    </row>
    <row r="9">
      <c r="A9" s="2" t="inlineStr">
        <is>
          <t>Wood fence</t>
        </is>
      </c>
      <c r="B9" s="3" t="inlineStr">
        <is>
          <t>Gate latch</t>
        </is>
      </c>
      <c r="C9" s="2" t="inlineStr">
        <is>
          <t>ea</t>
        </is>
      </c>
      <c r="D9" s="2" t="inlineStr">
        <is>
          <t>fencePrices.v1:latch</t>
        </is>
      </c>
      <c r="E9" s="4" t="n">
        <v>6.98</v>
      </c>
      <c r="F9" s="5" t="n">
        <v>7.48</v>
      </c>
      <c r="G9" s="6" t="n"/>
      <c r="H9" s="6" t="n"/>
      <c r="I9" s="7">
        <f>IF(COUNT(E9:H9)=0,"",MIN(E9:H9))</f>
        <v/>
      </c>
      <c r="J9" s="2">
        <f>IF(I9="","",INDEX($E$1:$H$1,MATCH(I9,E9:H9,0)))</f>
        <v/>
      </c>
      <c r="K9" s="3" t="inlineStr">
        <is>
          <t>https://www.homedepot.com/s/gate%20latch</t>
        </is>
      </c>
      <c r="L9" s="3" t="inlineStr">
        <is>
          <t>https://www.lowes.com/search?searchTerm=gate%20latch</t>
        </is>
      </c>
    </row>
    <row r="10">
      <c r="A10" s="2" t="inlineStr">
        <is>
          <t>Wood fence</t>
        </is>
      </c>
      <c r="B10" s="3" t="inlineStr">
        <is>
          <t>Cane bolt / drop rod</t>
        </is>
      </c>
      <c r="C10" s="2" t="inlineStr">
        <is>
          <t>ea</t>
        </is>
      </c>
      <c r="D10" s="2" t="inlineStr">
        <is>
          <t>fencePrices.v1:drop</t>
        </is>
      </c>
      <c r="E10" s="4" t="n">
        <v>12.98</v>
      </c>
      <c r="F10" s="5" t="n">
        <v>14.98</v>
      </c>
      <c r="G10" s="6" t="n"/>
      <c r="H10" s="6" t="n"/>
      <c r="I10" s="7">
        <f>IF(COUNT(E10:H10)=0,"",MIN(E10:H10))</f>
        <v/>
      </c>
      <c r="J10" s="2">
        <f>IF(I10="","",INDEX($E$1:$H$1,MATCH(I10,E10:H10,0)))</f>
        <v/>
      </c>
      <c r="K10" s="3" t="inlineStr">
        <is>
          <t>https://www.homedepot.com/s/cane%20bolt</t>
        </is>
      </c>
      <c r="L10" s="3" t="inlineStr">
        <is>
          <t>https://www.lowes.com/search?searchTerm=cane%20bolt</t>
        </is>
      </c>
    </row>
    <row r="11">
      <c r="A11" s="2" t="inlineStr">
        <is>
          <t>Wood fence</t>
        </is>
      </c>
      <c r="B11" s="3" t="inlineStr">
        <is>
          <t>Exterior screws #8 x 2 in (1 lb box)</t>
        </is>
      </c>
      <c r="C11" s="2" t="inlineStr">
        <is>
          <t>box</t>
        </is>
      </c>
      <c r="D11" s="2" t="inlineStr">
        <is>
          <t>fencePrices.v1:screws</t>
        </is>
      </c>
      <c r="E11" s="4" t="n">
        <v>8.970000000000001</v>
      </c>
      <c r="F11" s="5" t="n">
        <v>9.48</v>
      </c>
      <c r="G11" s="6" t="n"/>
      <c r="H11" s="6" t="n"/>
      <c r="I11" s="7">
        <f>IF(COUNT(E11:H11)=0,"",MIN(E11:H11))</f>
        <v/>
      </c>
      <c r="J11" s="2">
        <f>IF(I11="","",INDEX($E$1:$H$1,MATCH(I11,E11:H11,0)))</f>
        <v/>
      </c>
      <c r="K11" s="3" t="inlineStr">
        <is>
          <t>https://www.homedepot.com/s/exterior%20screws%208%20x%202</t>
        </is>
      </c>
      <c r="L11" s="3" t="inlineStr">
        <is>
          <t>https://www.lowes.com/search?searchTerm=exterior%20screws%208%20x%202</t>
        </is>
      </c>
    </row>
    <row r="12">
      <c r="A12" s="2" t="inlineStr">
        <is>
          <t>Cyclone fence</t>
        </is>
      </c>
      <c r="B12" s="3" t="inlineStr">
        <is>
          <t>Terminal post 2-3/8 in OD</t>
        </is>
      </c>
      <c r="C12" s="2" t="inlineStr">
        <is>
          <t>ea</t>
        </is>
      </c>
      <c r="D12" s="2" t="inlineStr">
        <is>
          <t>chainlinkPrices.v1:term</t>
        </is>
      </c>
      <c r="E12" s="4" t="n">
        <v>24.97</v>
      </c>
      <c r="F12" s="5" t="n">
        <v>25</v>
      </c>
      <c r="G12" s="6" t="n"/>
      <c r="H12" s="6" t="n"/>
      <c r="I12" s="7">
        <f>IF(COUNT(E12:H12)=0,"",MIN(E12:H12))</f>
        <v/>
      </c>
      <c r="J12" s="2">
        <f>IF(I12="","",INDEX($E$1:$H$1,MATCH(I12,E12:H12,0)))</f>
        <v/>
      </c>
      <c r="K12" s="3" t="inlineStr">
        <is>
          <t>https://www.homedepot.com/s/chain%20link%20terminal%20post%202-3/8</t>
        </is>
      </c>
      <c r="L12" s="3" t="inlineStr">
        <is>
          <t>https://www.lowes.com/search?searchTerm=chain%20link%20terminal%20post</t>
        </is>
      </c>
    </row>
    <row r="13">
      <c r="A13" s="2" t="inlineStr">
        <is>
          <t>Cyclone fence</t>
        </is>
      </c>
      <c r="B13" s="3" t="inlineStr">
        <is>
          <t>Line post 1-5/8 in OD</t>
        </is>
      </c>
      <c r="C13" s="2" t="inlineStr">
        <is>
          <t>ea</t>
        </is>
      </c>
      <c r="D13" s="2" t="inlineStr">
        <is>
          <t>chainlinkPrices.v1:line</t>
        </is>
      </c>
      <c r="E13" s="4" t="n">
        <v>12.97</v>
      </c>
      <c r="F13" s="5" t="n">
        <v>12</v>
      </c>
      <c r="G13" s="6" t="n"/>
      <c r="H13" s="6" t="n"/>
      <c r="I13" s="7">
        <f>IF(COUNT(E13:H13)=0,"",MIN(E13:H13))</f>
        <v/>
      </c>
      <c r="J13" s="2">
        <f>IF(I13="","",INDEX($E$1:$H$1,MATCH(I13,E13:H13,0)))</f>
        <v/>
      </c>
      <c r="K13" s="3" t="inlineStr">
        <is>
          <t>https://www.homedepot.com/s/chain%20link%20line%20post%201-5/8</t>
        </is>
      </c>
      <c r="L13" s="3" t="inlineStr">
        <is>
          <t>https://www.lowes.com/search?searchTerm=chain%20link%20line%20post</t>
        </is>
      </c>
    </row>
    <row r="14">
      <c r="A14" s="2" t="inlineStr">
        <is>
          <t>Cyclone fence</t>
        </is>
      </c>
      <c r="B14" s="3" t="inlineStr">
        <is>
          <t>Top rail 1-3/8 in x 10.5 ft</t>
        </is>
      </c>
      <c r="C14" s="2" t="inlineStr">
        <is>
          <t>ea</t>
        </is>
      </c>
      <c r="D14" s="2" t="inlineStr">
        <is>
          <t>chainlinkPrices.v1:rail</t>
        </is>
      </c>
      <c r="E14" s="4" t="n">
        <v>17.98</v>
      </c>
      <c r="F14" s="5" t="n">
        <v>18</v>
      </c>
      <c r="G14" s="6" t="n"/>
      <c r="H14" s="6" t="n"/>
      <c r="I14" s="7">
        <f>IF(COUNT(E14:H14)=0,"",MIN(E14:H14))</f>
        <v/>
      </c>
      <c r="J14" s="2">
        <f>IF(I14="","",INDEX($E$1:$H$1,MATCH(I14,E14:H14,0)))</f>
        <v/>
      </c>
      <c r="K14" s="3" t="inlineStr">
        <is>
          <t>https://www.homedepot.com/s/chain%20link%20top%20rail</t>
        </is>
      </c>
      <c r="L14" s="3" t="inlineStr">
        <is>
          <t>https://www.lowes.com/search?searchTerm=chain%20link%20top%20rail</t>
        </is>
      </c>
    </row>
    <row r="15">
      <c r="A15" s="2" t="inlineStr">
        <is>
          <t>Cyclone fence</t>
        </is>
      </c>
      <c r="B15" s="3" t="inlineStr">
        <is>
          <t>4 ft x 50 ft 11.5 ga chain-link fabric</t>
        </is>
      </c>
      <c r="C15" s="2" t="inlineStr">
        <is>
          <t>roll</t>
        </is>
      </c>
      <c r="D15" s="2" t="inlineStr">
        <is>
          <t>chainlinkPrices.v1:mesh</t>
        </is>
      </c>
      <c r="E15" s="4" t="n">
        <v>124.59</v>
      </c>
      <c r="F15" s="5" t="n">
        <v>119</v>
      </c>
      <c r="G15" s="6" t="n"/>
      <c r="H15" s="6" t="n"/>
      <c r="I15" s="7">
        <f>IF(COUNT(E15:H15)=0,"",MIN(E15:H15))</f>
        <v/>
      </c>
      <c r="J15" s="2">
        <f>IF(I15="","",INDEX($E$1:$H$1,MATCH(I15,E15:H15,0)))</f>
        <v/>
      </c>
      <c r="K15" s="3" t="inlineStr">
        <is>
          <t>https://www.homedepot.com/s/4%20ft%20x%2050%20ft%20chain%20link%20fabric</t>
        </is>
      </c>
      <c r="L15" s="3" t="inlineStr">
        <is>
          <t>https://www.lowes.com/search?searchTerm=4%20ft%20x%2050%20ft%20chain%20link%20fabric</t>
        </is>
      </c>
    </row>
    <row r="16">
      <c r="A16" s="2" t="inlineStr">
        <is>
          <t>Cyclone fence</t>
        </is>
      </c>
      <c r="B16" s="3" t="inlineStr">
        <is>
          <t>Tension bar</t>
        </is>
      </c>
      <c r="C16" s="2" t="inlineStr">
        <is>
          <t>ea</t>
        </is>
      </c>
      <c r="D16" s="2" t="inlineStr">
        <is>
          <t>chainlinkPrices.v1:bar</t>
        </is>
      </c>
      <c r="E16" s="4" t="n">
        <v>8.970000000000001</v>
      </c>
      <c r="F16" s="5" t="n">
        <v>8.48</v>
      </c>
      <c r="G16" s="6" t="n"/>
      <c r="H16" s="6" t="n"/>
      <c r="I16" s="7">
        <f>IF(COUNT(E16:H16)=0,"",MIN(E16:H16))</f>
        <v/>
      </c>
      <c r="J16" s="2">
        <f>IF(I16="","",INDEX($E$1:$H$1,MATCH(I16,E16:H16,0)))</f>
        <v/>
      </c>
      <c r="K16" s="3" t="inlineStr"/>
      <c r="L16" s="3" t="inlineStr"/>
    </row>
    <row r="17">
      <c r="A17" s="2" t="inlineStr">
        <is>
          <t>Cyclone fence</t>
        </is>
      </c>
      <c r="B17" s="3" t="inlineStr">
        <is>
          <t>Tension band</t>
        </is>
      </c>
      <c r="C17" s="2" t="inlineStr">
        <is>
          <t>ea</t>
        </is>
      </c>
      <c r="D17" s="2" t="inlineStr">
        <is>
          <t>chainlinkPrices.v1:band</t>
        </is>
      </c>
      <c r="E17" s="4" t="n">
        <v>1.28</v>
      </c>
      <c r="F17" s="5" t="n">
        <v>1.38</v>
      </c>
      <c r="G17" s="6" t="n"/>
      <c r="H17" s="6" t="n"/>
      <c r="I17" s="7">
        <f>IF(COUNT(E17:H17)=0,"",MIN(E17:H17))</f>
        <v/>
      </c>
      <c r="J17" s="2">
        <f>IF(I17="","",INDEX($E$1:$H$1,MATCH(I17,E17:H17,0)))</f>
        <v/>
      </c>
      <c r="K17" s="3" t="inlineStr"/>
      <c r="L17" s="3" t="inlineStr"/>
    </row>
    <row r="18">
      <c r="A18" s="2" t="inlineStr">
        <is>
          <t>Cyclone fence</t>
        </is>
      </c>
      <c r="B18" s="3" t="inlineStr">
        <is>
          <t>Brace band</t>
        </is>
      </c>
      <c r="C18" s="2" t="inlineStr">
        <is>
          <t>ea</t>
        </is>
      </c>
      <c r="D18" s="2" t="inlineStr">
        <is>
          <t>chainlinkPrices.v1:brace</t>
        </is>
      </c>
      <c r="E18" s="4" t="n">
        <v>1.48</v>
      </c>
      <c r="F18" s="5" t="n">
        <v>1.58</v>
      </c>
      <c r="G18" s="6" t="n"/>
      <c r="H18" s="6" t="n"/>
      <c r="I18" s="7">
        <f>IF(COUNT(E18:H18)=0,"",MIN(E18:H18))</f>
        <v/>
      </c>
      <c r="J18" s="2">
        <f>IF(I18="","",INDEX($E$1:$H$1,MATCH(I18,E18:H18,0)))</f>
        <v/>
      </c>
      <c r="K18" s="3" t="inlineStr"/>
      <c r="L18" s="3" t="inlineStr"/>
    </row>
    <row r="19">
      <c r="A19" s="2" t="inlineStr">
        <is>
          <t>Cyclone fence</t>
        </is>
      </c>
      <c r="B19" s="3" t="inlineStr">
        <is>
          <t>Loop cap (line post)</t>
        </is>
      </c>
      <c r="C19" s="2" t="inlineStr">
        <is>
          <t>ea</t>
        </is>
      </c>
      <c r="D19" s="2" t="inlineStr">
        <is>
          <t>chainlinkPrices.v1:capl</t>
        </is>
      </c>
      <c r="E19" s="4" t="n">
        <v>2.47</v>
      </c>
      <c r="F19" s="5" t="n">
        <v>2.28</v>
      </c>
      <c r="G19" s="6" t="n"/>
      <c r="H19" s="6" t="n"/>
      <c r="I19" s="7">
        <f>IF(COUNT(E19:H19)=0,"",MIN(E19:H19))</f>
        <v/>
      </c>
      <c r="J19" s="2">
        <f>IF(I19="","",INDEX($E$1:$H$1,MATCH(I19,E19:H19,0)))</f>
        <v/>
      </c>
      <c r="K19" s="3" t="inlineStr"/>
      <c r="L19" s="3" t="inlineStr"/>
    </row>
    <row r="20">
      <c r="A20" s="2" t="inlineStr">
        <is>
          <t>Cyclone fence</t>
        </is>
      </c>
      <c r="B20" s="3" t="inlineStr">
        <is>
          <t>Dome cap (terminal)</t>
        </is>
      </c>
      <c r="C20" s="2" t="inlineStr">
        <is>
          <t>ea</t>
        </is>
      </c>
      <c r="D20" s="2" t="inlineStr">
        <is>
          <t>chainlinkPrices.v1:capt</t>
        </is>
      </c>
      <c r="E20" s="4" t="n">
        <v>3.47</v>
      </c>
      <c r="F20" s="5" t="n">
        <v>3.28</v>
      </c>
      <c r="G20" s="6" t="n"/>
      <c r="H20" s="6" t="n"/>
      <c r="I20" s="7">
        <f>IF(COUNT(E20:H20)=0,"",MIN(E20:H20))</f>
        <v/>
      </c>
      <c r="J20" s="2">
        <f>IF(I20="","",INDEX($E$1:$H$1,MATCH(I20,E20:H20,0)))</f>
        <v/>
      </c>
      <c r="K20" s="3" t="inlineStr"/>
      <c r="L20" s="3" t="inlineStr"/>
    </row>
    <row r="21">
      <c r="A21" s="2" t="inlineStr">
        <is>
          <t>Cyclone fence</t>
        </is>
      </c>
      <c r="B21" s="3" t="inlineStr">
        <is>
          <t>Rail end</t>
        </is>
      </c>
      <c r="C21" s="2" t="inlineStr">
        <is>
          <t>ea</t>
        </is>
      </c>
      <c r="D21" s="2" t="inlineStr">
        <is>
          <t>chainlinkPrices.v1:rend</t>
        </is>
      </c>
      <c r="E21" s="4" t="n">
        <v>4.97</v>
      </c>
      <c r="F21" s="5" t="n">
        <v>4.48</v>
      </c>
      <c r="G21" s="6" t="n"/>
      <c r="H21" s="6" t="n"/>
      <c r="I21" s="7">
        <f>IF(COUNT(E21:H21)=0,"",MIN(E21:H21))</f>
        <v/>
      </c>
      <c r="J21" s="2">
        <f>IF(I21="","",INDEX($E$1:$H$1,MATCH(I21,E21:H21,0)))</f>
        <v/>
      </c>
      <c r="K21" s="3" t="inlineStr"/>
      <c r="L21" s="3" t="inlineStr"/>
    </row>
    <row r="22">
      <c r="A22" s="2" t="inlineStr">
        <is>
          <t>Cyclone fence</t>
        </is>
      </c>
      <c r="B22" s="3" t="inlineStr">
        <is>
          <t>Aluminum tie wire (bag ~100)</t>
        </is>
      </c>
      <c r="C22" s="2" t="inlineStr">
        <is>
          <t>bag</t>
        </is>
      </c>
      <c r="D22" s="2" t="inlineStr">
        <is>
          <t>chainlinkPrices.v1:tie</t>
        </is>
      </c>
      <c r="E22" s="4" t="n">
        <v>8.970000000000001</v>
      </c>
      <c r="F22" s="5" t="n">
        <v>7.98</v>
      </c>
      <c r="G22" s="6" t="n"/>
      <c r="H22" s="6" t="n"/>
      <c r="I22" s="7">
        <f>IF(COUNT(E22:H22)=0,"",MIN(E22:H22))</f>
        <v/>
      </c>
      <c r="J22" s="2">
        <f>IF(I22="","",INDEX($E$1:$H$1,MATCH(I22,E22:H22,0)))</f>
        <v/>
      </c>
      <c r="K22" s="3" t="inlineStr"/>
      <c r="L22" s="3" t="inlineStr"/>
    </row>
    <row r="23">
      <c r="A23" s="2" t="inlineStr">
        <is>
          <t>Cyclone fence</t>
        </is>
      </c>
      <c r="B23" s="3" t="inlineStr">
        <is>
          <t>Bottom tension wire</t>
        </is>
      </c>
      <c r="C23" s="2" t="inlineStr">
        <is>
          <t>lf</t>
        </is>
      </c>
      <c r="D23" s="2" t="inlineStr">
        <is>
          <t>chainlinkPrices.v1:wire</t>
        </is>
      </c>
      <c r="E23" s="4" t="n">
        <v>0.28</v>
      </c>
      <c r="F23" s="5" t="n">
        <v>0.32</v>
      </c>
      <c r="G23" s="6" t="n"/>
      <c r="H23" s="6" t="n"/>
      <c r="I23" s="7">
        <f>IF(COUNT(E23:H23)=0,"",MIN(E23:H23))</f>
        <v/>
      </c>
      <c r="J23" s="2">
        <f>IF(I23="","",INDEX($E$1:$H$1,MATCH(I23,E23:H23,0)))</f>
        <v/>
      </c>
      <c r="K23" s="3" t="inlineStr"/>
      <c r="L23" s="3" t="inlineStr"/>
    </row>
    <row r="24">
      <c r="A24" s="2" t="inlineStr">
        <is>
          <t>Cyclone fence</t>
        </is>
      </c>
      <c r="B24" s="3" t="inlineStr">
        <is>
          <t>Concrete mix 50-80 lb bag</t>
        </is>
      </c>
      <c r="C24" s="2" t="inlineStr">
        <is>
          <t>bag</t>
        </is>
      </c>
      <c r="D24" s="2" t="inlineStr">
        <is>
          <t>chainlinkPrices.v1:conc</t>
        </is>
      </c>
      <c r="E24" s="4" t="n">
        <v>6.24</v>
      </c>
      <c r="F24" s="5" t="n">
        <v>6.48</v>
      </c>
      <c r="G24" s="6" t="n"/>
      <c r="H24" s="6" t="n"/>
      <c r="I24" s="7">
        <f>IF(COUNT(E24:H24)=0,"",MIN(E24:H24))</f>
        <v/>
      </c>
      <c r="J24" s="2">
        <f>IF(I24="","",INDEX($E$1:$H$1,MATCH(I24,E24:H24,0)))</f>
        <v/>
      </c>
      <c r="K24" s="3" t="inlineStr">
        <is>
          <t>https://www.homedepot.com/p/Quikrete-80-lb-Concrete-Mix-110180/100318511</t>
        </is>
      </c>
      <c r="L24" s="3" t="inlineStr">
        <is>
          <t>https://www.lowes.com/search?searchTerm=quikrete%2080%20lb%20concrete%20mix</t>
        </is>
      </c>
    </row>
    <row r="25">
      <c r="A25" s="2" t="inlineStr">
        <is>
          <t>Cyclone fence</t>
        </is>
      </c>
      <c r="B25" s="3" t="inlineStr">
        <is>
          <t>Walk gate (framed)</t>
        </is>
      </c>
      <c r="C25" s="2" t="inlineStr">
        <is>
          <t>ea</t>
        </is>
      </c>
      <c r="D25" s="2" t="inlineStr">
        <is>
          <t>chainlinkPrices.v1:wgate</t>
        </is>
      </c>
      <c r="E25" s="4" t="n">
        <v>64.97</v>
      </c>
      <c r="F25" s="5" t="n">
        <v>55</v>
      </c>
      <c r="G25" s="6" t="n"/>
      <c r="H25" s="6" t="n"/>
      <c r="I25" s="7">
        <f>IF(COUNT(E25:H25)=0,"",MIN(E25:H25))</f>
        <v/>
      </c>
      <c r="J25" s="2">
        <f>IF(I25="","",INDEX($E$1:$H$1,MATCH(I25,E25:H25,0)))</f>
        <v/>
      </c>
      <c r="K25" s="3" t="inlineStr">
        <is>
          <t>https://www.homedepot.com/s/chain%20link%20walk%20gate</t>
        </is>
      </c>
      <c r="L25" s="3" t="inlineStr">
        <is>
          <t>https://www.lowes.com/search?searchTerm=chain%20link%20walk%20gate</t>
        </is>
      </c>
    </row>
    <row r="26">
      <c r="A26" s="2" t="inlineStr">
        <is>
          <t>Cyclone fence</t>
        </is>
      </c>
      <c r="B26" s="3" t="inlineStr">
        <is>
          <t>Double drive gate</t>
        </is>
      </c>
      <c r="C26" s="2" t="inlineStr">
        <is>
          <t>ea</t>
        </is>
      </c>
      <c r="D26" s="2" t="inlineStr">
        <is>
          <t>chainlinkPrices.v1:dgate</t>
        </is>
      </c>
      <c r="E26" s="4" t="n">
        <v>189</v>
      </c>
      <c r="F26" s="5" t="n">
        <v>175</v>
      </c>
      <c r="G26" s="6" t="n"/>
      <c r="H26" s="6" t="n"/>
      <c r="I26" s="7">
        <f>IF(COUNT(E26:H26)=0,"",MIN(E26:H26))</f>
        <v/>
      </c>
      <c r="J26" s="2">
        <f>IF(I26="","",INDEX($E$1:$H$1,MATCH(I26,E26:H26,0)))</f>
        <v/>
      </c>
      <c r="K26" s="3" t="inlineStr"/>
      <c r="L26" s="3" t="inlineStr"/>
    </row>
    <row r="27">
      <c r="A27" s="2" t="inlineStr">
        <is>
          <t>Floors</t>
        </is>
      </c>
      <c r="B27" s="3" t="inlineStr">
        <is>
          <t>LVP / laminate / hardwood carton (~20 sf)</t>
        </is>
      </c>
      <c r="C27" s="2" t="inlineStr">
        <is>
          <t>carton</t>
        </is>
      </c>
      <c r="D27" s="2" t="inlineStr">
        <is>
          <t>floorPrices.v1:flr</t>
        </is>
      </c>
      <c r="E27" s="4" t="n">
        <v>38.97</v>
      </c>
      <c r="F27" s="5" t="n">
        <v>36.48</v>
      </c>
      <c r="G27" s="6" t="n"/>
      <c r="H27" s="6" t="n"/>
      <c r="I27" s="7">
        <f>IF(COUNT(E27:H27)=0,"",MIN(E27:H27))</f>
        <v/>
      </c>
      <c r="J27" s="2">
        <f>IF(I27="","",INDEX($E$1:$H$1,MATCH(I27,E27:H27,0)))</f>
        <v/>
      </c>
      <c r="K27" s="3" t="inlineStr">
        <is>
          <t>https://www.homedepot.com/b/Flooring-Vinyl-Flooring-Luxury-Vinyl-Plank-Flooring/N-5yc1vZasah</t>
        </is>
      </c>
      <c r="L27" s="3" t="inlineStr">
        <is>
          <t>https://www.lowes.com/pl/Luxury-vinyl-plank-Vinyl-flooring-Flooring/4294601214</t>
        </is>
      </c>
    </row>
    <row r="28">
      <c r="A28" s="2" t="inlineStr">
        <is>
          <t>Floors</t>
        </is>
      </c>
      <c r="B28" s="3" t="inlineStr">
        <is>
          <t>Underlayment or carpet pad</t>
        </is>
      </c>
      <c r="C28" s="2" t="inlineStr">
        <is>
          <t>roll</t>
        </is>
      </c>
      <c r="D28" s="2" t="inlineStr">
        <is>
          <t>floorPrices.v1:pad</t>
        </is>
      </c>
      <c r="E28" s="4" t="n">
        <v>24.98</v>
      </c>
      <c r="F28" s="5" t="n">
        <v>22.98</v>
      </c>
      <c r="G28" s="6" t="n"/>
      <c r="H28" s="6" t="n"/>
      <c r="I28" s="7">
        <f>IF(COUNT(E28:H28)=0,"",MIN(E28:H28))</f>
        <v/>
      </c>
      <c r="J28" s="2">
        <f>IF(I28="","",INDEX($E$1:$H$1,MATCH(I28,E28:H28,0)))</f>
        <v/>
      </c>
      <c r="K28" s="3" t="inlineStr"/>
      <c r="L28" s="3" t="inlineStr"/>
    </row>
    <row r="29">
      <c r="A29" s="2" t="inlineStr">
        <is>
          <t>Floors</t>
        </is>
      </c>
      <c r="B29" s="3" t="inlineStr">
        <is>
          <t>Transition / T-mold / threshold</t>
        </is>
      </c>
      <c r="C29" s="2" t="inlineStr">
        <is>
          <t>ea</t>
        </is>
      </c>
      <c r="D29" s="2" t="inlineStr">
        <is>
          <t>floorPrices.v1:trans</t>
        </is>
      </c>
      <c r="E29" s="4" t="n">
        <v>29.97</v>
      </c>
      <c r="F29" s="5" t="n">
        <v>27.48</v>
      </c>
      <c r="G29" s="6" t="n"/>
      <c r="H29" s="6" t="n"/>
      <c r="I29" s="7">
        <f>IF(COUNT(E29:H29)=0,"",MIN(E29:H29))</f>
        <v/>
      </c>
      <c r="J29" s="2">
        <f>IF(I29="","",INDEX($E$1:$H$1,MATCH(I29,E29:H29,0)))</f>
        <v/>
      </c>
      <c r="K29" s="3" t="inlineStr"/>
      <c r="L29" s="3" t="inlineStr"/>
    </row>
    <row r="30">
      <c r="A30" s="2" t="inlineStr">
        <is>
          <t>Floors</t>
        </is>
      </c>
      <c r="B30" s="3" t="inlineStr">
        <is>
          <t>Quarter-round / shoe</t>
        </is>
      </c>
      <c r="C30" s="2" t="inlineStr">
        <is>
          <t>lf</t>
        </is>
      </c>
      <c r="D30" s="2" t="inlineStr">
        <is>
          <t>floorPrices.v1:qtr</t>
        </is>
      </c>
      <c r="E30" s="4" t="n">
        <v>1.28</v>
      </c>
      <c r="F30" s="5" t="n">
        <v>1.18</v>
      </c>
      <c r="G30" s="6" t="n"/>
      <c r="H30" s="6" t="n"/>
      <c r="I30" s="7">
        <f>IF(COUNT(E30:H30)=0,"",MIN(E30:H30))</f>
        <v/>
      </c>
      <c r="J30" s="2">
        <f>IF(I30="","",INDEX($E$1:$H$1,MATCH(I30,E30:H30,0)))</f>
        <v/>
      </c>
      <c r="K30" s="3" t="inlineStr"/>
      <c r="L30" s="3" t="inlineStr"/>
    </row>
    <row r="31">
      <c r="A31" s="2" t="inlineStr">
        <is>
          <t>Floors</t>
        </is>
      </c>
      <c r="B31" s="3" t="inlineStr">
        <is>
          <t>Wood adhesive / nails</t>
        </is>
      </c>
      <c r="C31" s="2" t="inlineStr">
        <is>
          <t>tube</t>
        </is>
      </c>
      <c r="D31" s="2" t="inlineStr">
        <is>
          <t>floorPrices.v1:glue</t>
        </is>
      </c>
      <c r="E31" s="4" t="n">
        <v>7.48</v>
      </c>
      <c r="F31" s="5" t="n">
        <v>6.98</v>
      </c>
      <c r="G31" s="6" t="n"/>
      <c r="H31" s="6" t="n"/>
      <c r="I31" s="7">
        <f>IF(COUNT(E31:H31)=0,"",MIN(E31:H31))</f>
        <v/>
      </c>
      <c r="J31" s="2">
        <f>IF(I31="","",INDEX($E$1:$H$1,MATCH(I31,E31:H31,0)))</f>
        <v/>
      </c>
      <c r="K31" s="3" t="inlineStr"/>
      <c r="L31" s="3" t="inlineStr"/>
    </row>
    <row r="32">
      <c r="A32" s="2" t="inlineStr">
        <is>
          <t>Floors</t>
        </is>
      </c>
      <c r="B32" s="3" t="inlineStr">
        <is>
          <t>Ceramic / porcelain tile carton</t>
        </is>
      </c>
      <c r="C32" s="2" t="inlineStr">
        <is>
          <t>carton</t>
        </is>
      </c>
      <c r="D32" s="2" t="inlineStr">
        <is>
          <t>floorPrices.v1:tile</t>
        </is>
      </c>
      <c r="E32" s="4" t="n">
        <v>28.96</v>
      </c>
      <c r="F32" s="5" t="n">
        <v>26.48</v>
      </c>
      <c r="G32" s="6" t="n"/>
      <c r="H32" s="6" t="n"/>
      <c r="I32" s="7">
        <f>IF(COUNT(E32:H32)=0,"",MIN(E32:H32))</f>
        <v/>
      </c>
      <c r="J32" s="2">
        <f>IF(I32="","",INDEX($E$1:$H$1,MATCH(I32,E32:H32,0)))</f>
        <v/>
      </c>
      <c r="K32" s="3" t="inlineStr">
        <is>
          <t>https://www.homedepot.com/b/Flooring-Tile/N-5yc1vZar3d</t>
        </is>
      </c>
      <c r="L32" s="3" t="inlineStr">
        <is>
          <t>https://www.lowes.com/pl/Tile-Flooring/4294601210</t>
        </is>
      </c>
    </row>
    <row r="33">
      <c r="A33" s="2" t="inlineStr">
        <is>
          <t>Floors</t>
        </is>
      </c>
      <c r="B33" s="3" t="inlineStr">
        <is>
          <t>Thinset / mortar 50 lb</t>
        </is>
      </c>
      <c r="C33" s="2" t="inlineStr">
        <is>
          <t>bag</t>
        </is>
      </c>
      <c r="D33" s="2" t="inlineStr">
        <is>
          <t>floorPrices.v1:thin</t>
        </is>
      </c>
      <c r="E33" s="4" t="n">
        <v>18.97</v>
      </c>
      <c r="F33" s="5" t="n">
        <v>17.48</v>
      </c>
      <c r="G33" s="6" t="n"/>
      <c r="H33" s="6" t="n"/>
      <c r="I33" s="7">
        <f>IF(COUNT(E33:H33)=0,"",MIN(E33:H33))</f>
        <v/>
      </c>
      <c r="J33" s="2">
        <f>IF(I33="","",INDEX($E$1:$H$1,MATCH(I33,E33:H33,0)))</f>
        <v/>
      </c>
      <c r="K33" s="3" t="inlineStr"/>
      <c r="L33" s="3" t="inlineStr"/>
    </row>
    <row r="34">
      <c r="A34" s="2" t="inlineStr">
        <is>
          <t>Floors</t>
        </is>
      </c>
      <c r="B34" s="3" t="inlineStr">
        <is>
          <t>Sanded grout 25 lb</t>
        </is>
      </c>
      <c r="C34" s="2" t="inlineStr">
        <is>
          <t>bag</t>
        </is>
      </c>
      <c r="D34" s="2" t="inlineStr">
        <is>
          <t>floorPrices.v1:grout</t>
        </is>
      </c>
      <c r="E34" s="4" t="n">
        <v>16.98</v>
      </c>
      <c r="F34" s="5" t="n">
        <v>15.48</v>
      </c>
      <c r="G34" s="6" t="n"/>
      <c r="H34" s="6" t="n"/>
      <c r="I34" s="7">
        <f>IF(COUNT(E34:H34)=0,"",MIN(E34:H34))</f>
        <v/>
      </c>
      <c r="J34" s="2">
        <f>IF(I34="","",INDEX($E$1:$H$1,MATCH(I34,E34:H34,0)))</f>
        <v/>
      </c>
      <c r="K34" s="3" t="inlineStr"/>
      <c r="L34" s="3" t="inlineStr"/>
    </row>
    <row r="35">
      <c r="A35" s="2" t="inlineStr">
        <is>
          <t>Floors</t>
        </is>
      </c>
      <c r="B35" s="3" t="inlineStr">
        <is>
          <t>Tile spacers</t>
        </is>
      </c>
      <c r="C35" s="2" t="inlineStr">
        <is>
          <t>bag</t>
        </is>
      </c>
      <c r="D35" s="2" t="inlineStr">
        <is>
          <t>floorPrices.v1:spac</t>
        </is>
      </c>
      <c r="E35" s="4" t="n">
        <v>3.48</v>
      </c>
      <c r="F35" s="5" t="n">
        <v>2.98</v>
      </c>
      <c r="G35" s="6" t="n"/>
      <c r="H35" s="6" t="n"/>
      <c r="I35" s="7">
        <f>IF(COUNT(E35:H35)=0,"",MIN(E35:H35))</f>
        <v/>
      </c>
      <c r="J35" s="2">
        <f>IF(I35="","",INDEX($E$1:$H$1,MATCH(I35,E35:H35,0)))</f>
        <v/>
      </c>
      <c r="K35" s="3" t="inlineStr"/>
      <c r="L35" s="3" t="inlineStr"/>
    </row>
    <row r="36">
      <c r="A36" s="2" t="inlineStr">
        <is>
          <t>Floors</t>
        </is>
      </c>
      <c r="B36" s="3" t="inlineStr">
        <is>
          <t>Cement board 3x5 sheet</t>
        </is>
      </c>
      <c r="C36" s="2" t="inlineStr">
        <is>
          <t>sheet</t>
        </is>
      </c>
      <c r="D36" s="2" t="inlineStr">
        <is>
          <t>floorPrices.v1:uw</t>
        </is>
      </c>
      <c r="E36" s="4" t="n">
        <v>15.85</v>
      </c>
      <c r="F36" s="5" t="n">
        <v>16.48</v>
      </c>
      <c r="G36" s="6" t="n"/>
      <c r="H36" s="6" t="n"/>
      <c r="I36" s="7">
        <f>IF(COUNT(E36:H36)=0,"",MIN(E36:H36))</f>
        <v/>
      </c>
      <c r="J36" s="2">
        <f>IF(I36="","",INDEX($E$1:$H$1,MATCH(I36,E36:H36,0)))</f>
        <v/>
      </c>
      <c r="K36" s="3" t="inlineStr"/>
      <c r="L36" s="3" t="inlineStr"/>
    </row>
    <row r="37">
      <c r="A37" s="2" t="inlineStr">
        <is>
          <t>Floors</t>
        </is>
      </c>
      <c r="B37" s="3" t="inlineStr">
        <is>
          <t>Tile base / shoe</t>
        </is>
      </c>
      <c r="C37" s="2" t="inlineStr">
        <is>
          <t>lf</t>
        </is>
      </c>
      <c r="D37" s="2" t="inlineStr">
        <is>
          <t>floorPrices.v1:base</t>
        </is>
      </c>
      <c r="E37" s="4" t="n">
        <v>1.48</v>
      </c>
      <c r="F37" s="5" t="n">
        <v>1.38</v>
      </c>
      <c r="G37" s="6" t="n"/>
      <c r="H37" s="6" t="n"/>
      <c r="I37" s="7">
        <f>IF(COUNT(E37:H37)=0,"",MIN(E37:H37))</f>
        <v/>
      </c>
      <c r="J37" s="2">
        <f>IF(I37="","",INDEX($E$1:$H$1,MATCH(I37,E37:H37,0)))</f>
        <v/>
      </c>
      <c r="K37" s="3" t="inlineStr"/>
      <c r="L37" s="3" t="inlineStr"/>
    </row>
    <row r="38">
      <c r="A38" s="2" t="inlineStr">
        <is>
          <t>Floors</t>
        </is>
      </c>
      <c r="B38" s="3" t="inlineStr">
        <is>
          <t>Carpet 12 ft goods</t>
        </is>
      </c>
      <c r="C38" s="2" t="inlineStr">
        <is>
          <t>lf</t>
        </is>
      </c>
      <c r="D38" s="2" t="inlineStr">
        <is>
          <t>floorPrices.v1:carp</t>
        </is>
      </c>
      <c r="E38" s="4" t="n">
        <v>18</v>
      </c>
      <c r="F38" s="5" t="n">
        <v>16</v>
      </c>
      <c r="G38" s="6" t="n"/>
      <c r="H38" s="6" t="n"/>
      <c r="I38" s="7">
        <f>IF(COUNT(E38:H38)=0,"",MIN(E38:H38))</f>
        <v/>
      </c>
      <c r="J38" s="2">
        <f>IF(I38="","",INDEX($E$1:$H$1,MATCH(I38,E38:H38,0)))</f>
        <v/>
      </c>
      <c r="K38" s="3" t="inlineStr">
        <is>
          <t>https://www.homedepot.com/b/Flooring-Carpet/N-5yc1vZaq7i</t>
        </is>
      </c>
      <c r="L38" s="3" t="inlineStr">
        <is>
          <t>https://www.lowes.com/pl/Carpet-Flooring/4294601206</t>
        </is>
      </c>
    </row>
    <row r="39">
      <c r="A39" s="2" t="inlineStr">
        <is>
          <t>Floors</t>
        </is>
      </c>
      <c r="B39" s="3" t="inlineStr">
        <is>
          <t>Tack strip</t>
        </is>
      </c>
      <c r="C39" s="2" t="inlineStr">
        <is>
          <t>lf</t>
        </is>
      </c>
      <c r="D39" s="2" t="inlineStr">
        <is>
          <t>floorPrices.v1:tack</t>
        </is>
      </c>
      <c r="E39" s="4" t="n">
        <v>0.48</v>
      </c>
      <c r="F39" s="5" t="n">
        <v>0.42</v>
      </c>
      <c r="G39" s="6" t="n"/>
      <c r="H39" s="6" t="n"/>
      <c r="I39" s="7">
        <f>IF(COUNT(E39:H39)=0,"",MIN(E39:H39))</f>
        <v/>
      </c>
      <c r="J39" s="2">
        <f>IF(I39="","",INDEX($E$1:$H$1,MATCH(I39,E39:H39,0)))</f>
        <v/>
      </c>
      <c r="K39" s="3" t="inlineStr"/>
      <c r="L39" s="3" t="inlineStr"/>
    </row>
    <row r="40">
      <c r="A40" s="2" t="inlineStr">
        <is>
          <t>Paint</t>
        </is>
      </c>
      <c r="B40" s="3" t="inlineStr">
        <is>
          <t>Wall paint eggshell gallon</t>
        </is>
      </c>
      <c r="C40" s="2" t="inlineStr">
        <is>
          <t>gal</t>
        </is>
      </c>
      <c r="D40" s="2" t="inlineStr">
        <is>
          <t>paintPrices.v1:wall</t>
        </is>
      </c>
      <c r="E40" s="4" t="n">
        <v>36.98</v>
      </c>
      <c r="F40" s="5" t="n">
        <v>34.98</v>
      </c>
      <c r="G40" s="6" t="n"/>
      <c r="H40" s="6" t="n"/>
      <c r="I40" s="7">
        <f>IF(COUNT(E40:H40)=0,"",MIN(E40:H40))</f>
        <v/>
      </c>
      <c r="J40" s="2">
        <f>IF(I40="","",INDEX($E$1:$H$1,MATCH(I40,E40:H40,0)))</f>
        <v/>
      </c>
      <c r="K40" s="3" t="inlineStr">
        <is>
          <t>https://www.homedepot.com/s/behr%20premium%20plus%20eggshell%20gallon</t>
        </is>
      </c>
      <c r="L40" s="3" t="inlineStr">
        <is>
          <t>https://www.lowes.com/search?searchTerm=valspar%20reserve%20eggshell%20gallon</t>
        </is>
      </c>
    </row>
    <row r="41">
      <c r="A41" s="2" t="inlineStr">
        <is>
          <t>Paint</t>
        </is>
      </c>
      <c r="B41" s="3" t="inlineStr">
        <is>
          <t>Ceiling paint gallon</t>
        </is>
      </c>
      <c r="C41" s="2" t="inlineStr">
        <is>
          <t>gal</t>
        </is>
      </c>
      <c r="D41" s="2" t="inlineStr">
        <is>
          <t>paintPrices.v1:ceil</t>
        </is>
      </c>
      <c r="E41" s="4" t="n">
        <v>28.98</v>
      </c>
      <c r="F41" s="5" t="n">
        <v>26.98</v>
      </c>
      <c r="G41" s="6" t="n"/>
      <c r="H41" s="6" t="n"/>
      <c r="I41" s="7">
        <f>IF(COUNT(E41:H41)=0,"",MIN(E41:H41))</f>
        <v/>
      </c>
      <c r="J41" s="2">
        <f>IF(I41="","",INDEX($E$1:$H$1,MATCH(I41,E41:H41,0)))</f>
        <v/>
      </c>
      <c r="K41" s="3" t="inlineStr">
        <is>
          <t>https://www.homedepot.com/s/ceiling%20paint%20gallon</t>
        </is>
      </c>
      <c r="L41" s="3" t="inlineStr">
        <is>
          <t>https://www.lowes.com/search?searchTerm=ceiling%20paint%20gallon</t>
        </is>
      </c>
    </row>
    <row r="42">
      <c r="A42" s="2" t="inlineStr">
        <is>
          <t>Paint</t>
        </is>
      </c>
      <c r="B42" s="3" t="inlineStr">
        <is>
          <t>Primer gallon</t>
        </is>
      </c>
      <c r="C42" s="2" t="inlineStr">
        <is>
          <t>gal</t>
        </is>
      </c>
      <c r="D42" s="2" t="inlineStr">
        <is>
          <t>paintPrices.v1:prim</t>
        </is>
      </c>
      <c r="E42" s="4" t="n">
        <v>22.98</v>
      </c>
      <c r="F42" s="5" t="n">
        <v>19.98</v>
      </c>
      <c r="G42" s="6" t="n"/>
      <c r="H42" s="6" t="n"/>
      <c r="I42" s="7">
        <f>IF(COUNT(E42:H42)=0,"",MIN(E42:H42))</f>
        <v/>
      </c>
      <c r="J42" s="2">
        <f>IF(I42="","",INDEX($E$1:$H$1,MATCH(I42,E42:H42,0)))</f>
        <v/>
      </c>
      <c r="K42" s="3" t="inlineStr">
        <is>
          <t>https://www.homedepot.com/s/kilz%20primer%20gallon</t>
        </is>
      </c>
      <c r="L42" s="3" t="inlineStr">
        <is>
          <t>https://www.lowes.com/search?searchTerm=primer%20gallon</t>
        </is>
      </c>
    </row>
    <row r="43">
      <c r="A43" s="2" t="inlineStr">
        <is>
          <t>Paint</t>
        </is>
      </c>
      <c r="B43" s="3" t="inlineStr">
        <is>
          <t>Trim enamel gallon</t>
        </is>
      </c>
      <c r="C43" s="2" t="inlineStr">
        <is>
          <t>gal</t>
        </is>
      </c>
      <c r="D43" s="2" t="inlineStr">
        <is>
          <t>paintPrices.v1:trim</t>
        </is>
      </c>
      <c r="E43" s="4" t="n">
        <v>38.98</v>
      </c>
      <c r="F43" s="5" t="n">
        <v>36.98</v>
      </c>
      <c r="G43" s="6" t="n"/>
      <c r="H43" s="6" t="n"/>
      <c r="I43" s="7">
        <f>IF(COUNT(E43:H43)=0,"",MIN(E43:H43))</f>
        <v/>
      </c>
      <c r="J43" s="2">
        <f>IF(I43="","",INDEX($E$1:$H$1,MATCH(I43,E43:H43,0)))</f>
        <v/>
      </c>
      <c r="K43" s="3" t="inlineStr">
        <is>
          <t>https://www.homedepot.com/s/semi-gloss%20enamel%20gallon</t>
        </is>
      </c>
      <c r="L43" s="3" t="inlineStr">
        <is>
          <t>https://www.lowes.com/search?searchTerm=semi%20gloss%20enamel%20gallon</t>
        </is>
      </c>
    </row>
    <row r="44">
      <c r="A44" s="2" t="inlineStr">
        <is>
          <t>Paint</t>
        </is>
      </c>
      <c r="B44" s="3" t="inlineStr">
        <is>
          <t>Painter tape 1.88 in</t>
        </is>
      </c>
      <c r="C44" s="2" t="inlineStr">
        <is>
          <t>roll</t>
        </is>
      </c>
      <c r="D44" s="2" t="inlineStr">
        <is>
          <t>paintPrices.v1:tape</t>
        </is>
      </c>
      <c r="E44" s="4" t="n">
        <v>7.98</v>
      </c>
      <c r="F44" s="5" t="n">
        <v>6.98</v>
      </c>
      <c r="G44" s="6" t="n"/>
      <c r="H44" s="6" t="n"/>
      <c r="I44" s="7">
        <f>IF(COUNT(E44:H44)=0,"",MIN(E44:H44))</f>
        <v/>
      </c>
      <c r="J44" s="2">
        <f>IF(I44="","",INDEX($E$1:$H$1,MATCH(I44,E44:H44,0)))</f>
        <v/>
      </c>
      <c r="K44" s="3" t="inlineStr"/>
      <c r="L44" s="3" t="inlineStr"/>
    </row>
    <row r="45">
      <c r="A45" s="2" t="inlineStr">
        <is>
          <t>Paint</t>
        </is>
      </c>
      <c r="B45" s="3" t="inlineStr">
        <is>
          <t>Drop cloth / plastic</t>
        </is>
      </c>
      <c r="C45" s="2" t="inlineStr">
        <is>
          <t>ea</t>
        </is>
      </c>
      <c r="D45" s="2" t="inlineStr">
        <is>
          <t>paintPrices.v1:plastic</t>
        </is>
      </c>
      <c r="E45" s="4" t="n">
        <v>9.98</v>
      </c>
      <c r="F45" s="5" t="n">
        <v>8.98</v>
      </c>
      <c r="G45" s="6" t="n"/>
      <c r="H45" s="6" t="n"/>
      <c r="I45" s="7">
        <f>IF(COUNT(E45:H45)=0,"",MIN(E45:H45))</f>
        <v/>
      </c>
      <c r="J45" s="2">
        <f>IF(I45="","",INDEX($E$1:$H$1,MATCH(I45,E45:H45,0)))</f>
        <v/>
      </c>
      <c r="K45" s="3" t="inlineStr"/>
      <c r="L45" s="3" t="inlineStr"/>
    </row>
    <row r="46">
      <c r="A46" s="2" t="inlineStr">
        <is>
          <t>Paint</t>
        </is>
      </c>
      <c r="B46" s="3" t="inlineStr">
        <is>
          <t>9 in roller cover 3-pack</t>
        </is>
      </c>
      <c r="C46" s="2" t="inlineStr">
        <is>
          <t>pk</t>
        </is>
      </c>
      <c r="D46" s="2" t="inlineStr">
        <is>
          <t>paintPrices.v1:roll</t>
        </is>
      </c>
      <c r="E46" s="4" t="n">
        <v>8.970000000000001</v>
      </c>
      <c r="F46" s="5" t="n">
        <v>7.98</v>
      </c>
      <c r="G46" s="6" t="n"/>
      <c r="H46" s="6" t="n"/>
      <c r="I46" s="7">
        <f>IF(COUNT(E46:H46)=0,"",MIN(E46:H46))</f>
        <v/>
      </c>
      <c r="J46" s="2">
        <f>IF(I46="","",INDEX($E$1:$H$1,MATCH(I46,E46:H46,0)))</f>
        <v/>
      </c>
      <c r="K46" s="3" t="inlineStr"/>
      <c r="L46" s="3" t="inlineStr"/>
    </row>
    <row r="47">
      <c r="A47" s="2" t="inlineStr">
        <is>
          <t>Paint</t>
        </is>
      </c>
      <c r="B47" s="3" t="inlineStr">
        <is>
          <t>2-2.5 in sash brush</t>
        </is>
      </c>
      <c r="C47" s="2" t="inlineStr">
        <is>
          <t>ea</t>
        </is>
      </c>
      <c r="D47" s="2" t="inlineStr">
        <is>
          <t>paintPrices.v1:brush</t>
        </is>
      </c>
      <c r="E47" s="4" t="n">
        <v>6.97</v>
      </c>
      <c r="F47" s="5" t="n">
        <v>5.98</v>
      </c>
      <c r="G47" s="6" t="n"/>
      <c r="H47" s="6" t="n"/>
      <c r="I47" s="7">
        <f>IF(COUNT(E47:H47)=0,"",MIN(E47:H47))</f>
        <v/>
      </c>
      <c r="J47" s="2">
        <f>IF(I47="","",INDEX($E$1:$H$1,MATCH(I47,E47:H47,0)))</f>
        <v/>
      </c>
      <c r="K47" s="3" t="inlineStr"/>
      <c r="L47" s="3" t="inlineStr"/>
    </row>
    <row r="48">
      <c r="A48" s="2" t="inlineStr">
        <is>
          <t>Paint</t>
        </is>
      </c>
      <c r="B48" s="3" t="inlineStr">
        <is>
          <t>Tray + liner</t>
        </is>
      </c>
      <c r="C48" s="2" t="inlineStr">
        <is>
          <t>set</t>
        </is>
      </c>
      <c r="D48" s="2" t="inlineStr">
        <is>
          <t>paintPrices.v1:tray</t>
        </is>
      </c>
      <c r="E48" s="4" t="n">
        <v>5.97</v>
      </c>
      <c r="F48" s="5" t="n">
        <v>4.98</v>
      </c>
      <c r="G48" s="6" t="n"/>
      <c r="H48" s="6" t="n"/>
      <c r="I48" s="7">
        <f>IF(COUNT(E48:H48)=0,"",MIN(E48:H48))</f>
        <v/>
      </c>
      <c r="J48" s="2">
        <f>IF(I48="","",INDEX($E$1:$H$1,MATCH(I48,E48:H48,0)))</f>
        <v/>
      </c>
      <c r="K48" s="3" t="inlineStr"/>
      <c r="L48" s="3" t="inlineStr"/>
    </row>
  </sheetData>
  <autoFilter ref="A1:L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0" customWidth="1" min="3" max="3"/>
  </cols>
  <sheetData>
    <row r="1">
      <c r="A1" s="8" t="inlineStr">
        <is>
          <t>Homejobs price comparison</t>
        </is>
      </c>
    </row>
    <row r="2">
      <c r="A2" t="inlineStr">
        <is>
          <t>HD / Lowes catalog as of</t>
        </is>
      </c>
      <c r="B2" t="inlineStr">
        <is>
          <t>2026-09-02</t>
        </is>
      </c>
    </row>
    <row r="3">
      <c r="A3" t="inlineStr">
        <is>
          <t>Area</t>
        </is>
      </c>
      <c r="B3" t="inlineStr">
        <is>
          <t>Jackson, MS</t>
        </is>
      </c>
    </row>
    <row r="5">
      <c r="A5" s="9" t="inlineStr">
        <is>
          <t>Yellow cells are yours — type local shop names and prices.</t>
        </is>
      </c>
    </row>
    <row r="7">
      <c r="A7" s="10" t="inlineStr">
        <is>
          <t>Store</t>
        </is>
      </c>
      <c r="B7" s="10" t="inlineStr">
        <is>
          <t>Name (edit)</t>
        </is>
      </c>
      <c r="C7" s="10" t="inlineStr">
        <is>
          <t>Phone / notes</t>
        </is>
      </c>
    </row>
    <row r="8">
      <c r="A8" t="inlineStr">
        <is>
          <t>Home Depot</t>
        </is>
      </c>
      <c r="B8" t="inlineStr">
        <is>
          <t>Home Depot (Jackson)</t>
        </is>
      </c>
    </row>
    <row r="9">
      <c r="A9" t="inlineStr">
        <is>
          <t>Lowes</t>
        </is>
      </c>
      <c r="B9" t="inlineStr">
        <is>
          <t>Lowes (Jackson)</t>
        </is>
      </c>
    </row>
    <row r="10">
      <c r="A10" t="inlineStr">
        <is>
          <t>Local 1</t>
        </is>
      </c>
      <c r="B10" s="11" t="inlineStr">
        <is>
          <t>Local lumber / fence shop 1</t>
        </is>
      </c>
      <c r="C10" s="11" t="inlineStr"/>
    </row>
    <row r="11">
      <c r="A11" t="inlineStr">
        <is>
          <t>Local 2</t>
        </is>
      </c>
      <c r="B11" s="11" t="inlineStr">
        <is>
          <t>Local lumber / fence shop 2</t>
        </is>
      </c>
      <c r="C11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How to use</t>
        </is>
      </c>
    </row>
    <row r="3">
      <c r="A3" t="inlineStr">
        <is>
          <t>1. Stores tab: type real names for Local 1 and Local 2.</t>
        </is>
      </c>
    </row>
    <row r="4">
      <c r="A4" t="inlineStr">
        <is>
          <t>2. Prices tab: yellow Local 1 / Local 2 are blank — fill from a mill or shop quote.</t>
        </is>
      </c>
    </row>
    <row r="5">
      <c r="A5" t="inlineStr">
        <is>
          <t>3. Home Depot and Lowes are national web catalog prices (Jackson shelf may differ).</t>
        </is>
      </c>
    </row>
    <row r="6">
      <c r="A6" t="inlineStr">
        <is>
          <t>4. Cheapest and Cheapest store update when you type a number.</t>
        </is>
      </c>
    </row>
    <row r="7">
      <c r="A7" t="inlineStr">
        <is>
          <t>5. Do not change the Key column — the website calculators use it.</t>
        </is>
      </c>
    </row>
    <row r="8">
      <c r="A8" t="inlineStr">
        <is>
          <t>Rebuild this file after editing prices.json:  python build_compare_sheet.py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2026-09-02T15:58:54Z</dcterms:created>
  <dcterms:modified xsi:type="dcterms:W3CDTF">2026-09-02T15:58:54Z</dcterms:modified>
</cp:coreProperties>
</file>